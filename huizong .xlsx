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2.xml" ContentType="application/vnd.openxmlformats-officedocument.themeOverrid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3.xml" ContentType="application/vnd.openxmlformats-officedocument.themeOverrid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4.xml" ContentType="application/vnd.openxmlformats-officedocument.themeOverrid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heme/themeOverride5.xml" ContentType="application/vnd.openxmlformats-officedocument.themeOverrid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heme/themeOverride6.xml" ContentType="application/vnd.openxmlformats-officedocument.themeOverrid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6721acd91462c360/Private/1 postdoc/1.artilcle/22.enhancedpipe/enhance/"/>
    </mc:Choice>
  </mc:AlternateContent>
  <xr:revisionPtr revIDLastSave="213" documentId="11_4055C26B11AA762E2F34A373A5AA7B397C62A5E1" xr6:coauthVersionLast="47" xr6:coauthVersionMax="47" xr10:uidLastSave="{3A6E9492-ABA1-4AF1-859F-D243021A18A8}"/>
  <bookViews>
    <workbookView xWindow="-98" yWindow="-98" windowWidth="28996" windowHeight="15675" xr2:uid="{00000000-000D-0000-FFFF-FFFF00000000}"/>
  </bookViews>
  <sheets>
    <sheet name="Sheet1" sheetId="1" r:id="rId1"/>
    <sheet name="Sheet2" sheetId="2" r:id="rId2"/>
    <sheet name="Sheet3" sheetId="3" r:id="rId3"/>
  </sheets>
  <externalReferences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1" l="1"/>
  <c r="I3" i="1"/>
  <c r="J4" i="1"/>
  <c r="J5" i="1" s="1"/>
  <c r="J6" i="1" s="1"/>
  <c r="J7" i="1" s="1"/>
  <c r="J3" i="1"/>
  <c r="I4" i="1"/>
  <c r="I5" i="1"/>
  <c r="I6" i="1"/>
  <c r="I7" i="1"/>
  <c r="I2" i="1"/>
  <c r="F5" i="1"/>
  <c r="F6" i="1"/>
  <c r="F7" i="1"/>
  <c r="F4" i="1"/>
  <c r="F3" i="1"/>
  <c r="F2" i="1"/>
</calcChain>
</file>

<file path=xl/sharedStrings.xml><?xml version="1.0" encoding="utf-8"?>
<sst xmlns="http://schemas.openxmlformats.org/spreadsheetml/2006/main" count="13" uniqueCount="12">
  <si>
    <t>LCOH</t>
    <phoneticPr fontId="1" type="noConversion"/>
  </si>
  <si>
    <t>COP</t>
    <phoneticPr fontId="1" type="noConversion"/>
  </si>
  <si>
    <t>电量（kwh)</t>
    <phoneticPr fontId="1" type="noConversion"/>
  </si>
  <si>
    <t>运行时长</t>
    <phoneticPr fontId="1" type="noConversion"/>
  </si>
  <si>
    <t>供热量（kwh)</t>
    <phoneticPr fontId="1" type="noConversion"/>
  </si>
  <si>
    <t>最后出水温度</t>
    <phoneticPr fontId="1" type="noConversion"/>
  </si>
  <si>
    <t>水泵耗电</t>
    <phoneticPr fontId="1" type="noConversion"/>
  </si>
  <si>
    <t>初投资</t>
    <phoneticPr fontId="1" type="noConversion"/>
  </si>
  <si>
    <t>图</t>
    <phoneticPr fontId="3" type="noConversion"/>
  </si>
  <si>
    <t>公式</t>
    <phoneticPr fontId="3" type="noConversion"/>
  </si>
  <si>
    <t>引文</t>
    <phoneticPr fontId="3" type="noConversion"/>
  </si>
  <si>
    <t>表述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</si>
</sst>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zh-CN" altLang="en-US"/>
              <a:t>投资回报周期</a:t>
            </a:r>
            <a:endParaRPr lang="en-US" altLang="zh-CN"/>
          </a:p>
        </c:rich>
      </c:tx>
      <c:layout>
        <c:manualLayout>
          <c:xMode val="edge"/>
          <c:yMode val="edge"/>
          <c:x val="0.41379265491159944"/>
          <c:y val="2.98400035400739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878608276643991"/>
          <c:y val="0.14242182539682541"/>
          <c:w val="0.72716638321995464"/>
          <c:h val="0.59345634920634915"/>
        </c:manualLayout>
      </c:layout>
      <c:scatterChart>
        <c:scatterStyle val="smooth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LCOH</c:v>
                </c:pt>
              </c:strCache>
            </c:strRef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square"/>
            <c:size val="7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Sheet1!$A$2:$A$7</c:f>
              <c:numCache>
                <c:formatCode>General</c:formatCode>
                <c:ptCount val="6"/>
                <c:pt idx="0">
                  <c:v>0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</c:numCache>
            </c:numRef>
          </c:xVal>
          <c:yVal>
            <c:numRef>
              <c:f>Sheet1!$B$2:$B$7</c:f>
              <c:numCache>
                <c:formatCode>General</c:formatCode>
                <c:ptCount val="6"/>
                <c:pt idx="0">
                  <c:v>7.6774100000000001</c:v>
                </c:pt>
                <c:pt idx="1">
                  <c:v>7.65</c:v>
                </c:pt>
                <c:pt idx="2">
                  <c:v>7.6646299999999998</c:v>
                </c:pt>
                <c:pt idx="3">
                  <c:v>7.6704400000000001</c:v>
                </c:pt>
                <c:pt idx="4">
                  <c:v>7.6762499999999996</c:v>
                </c:pt>
                <c:pt idx="5">
                  <c:v>7.6820599999999999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967-493B-BC08-8EFC53EEFB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376559"/>
        <c:axId val="45377039"/>
      </c:scatterChart>
      <c:valAx>
        <c:axId val="45376559"/>
        <c:scaling>
          <c:orientation val="minMax"/>
          <c:max val="10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zh-CN" altLang="en-US" sz="12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增强换热管长度（</a:t>
                </a:r>
                <a:r>
                  <a:rPr lang="en-US" altLang="zh-CN" sz="12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m</a:t>
                </a:r>
                <a:r>
                  <a:rPr lang="zh-CN" altLang="en-US" sz="12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）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CN"/>
          </a:p>
        </c:txPr>
        <c:crossAx val="45377039"/>
        <c:crosses val="autoZero"/>
        <c:crossBetween val="midCat"/>
        <c:majorUnit val="200"/>
      </c:valAx>
      <c:valAx>
        <c:axId val="4537703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zh-CN" altLang="en-US"/>
                  <a:t>投资回报周期（年）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CN"/>
          </a:p>
        </c:txPr>
        <c:crossAx val="45376559"/>
        <c:crosses val="autoZero"/>
        <c:crossBetween val="midCat"/>
        <c:majorUnit val="5.000000000000001E-2"/>
      </c:valAx>
      <c:spPr>
        <a:solidFill>
          <a:sysClr val="window" lastClr="FFFFFF"/>
        </a:solidFill>
        <a:ln w="12700">
          <a:solidFill>
            <a:schemeClr val="tx1"/>
          </a:solidFill>
        </a:ln>
        <a:effectLst/>
      </c:spPr>
    </c:plotArea>
    <c:plotVisOnly val="1"/>
    <c:dispBlanksAs val="gap"/>
    <c:showDLblsOverMax val="0"/>
    <c:extLst/>
  </c:chart>
  <c:spPr>
    <a:solidFill>
      <a:sysClr val="window" lastClr="FFFFFF"/>
    </a:solidFill>
    <a:ln w="9525" cap="flat" cmpd="sng" algn="ctr">
      <a:noFill/>
      <a:round/>
    </a:ln>
    <a:effectLst/>
  </c:spPr>
  <c:txPr>
    <a:bodyPr/>
    <a:lstStyle/>
    <a:p>
      <a:pPr>
        <a:defRPr sz="1200">
          <a:latin typeface="Arial" panose="020B0604020202020204" pitchFamily="34" charset="0"/>
          <a:cs typeface="Arial" panose="020B0604020202020204" pitchFamily="34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zh-CN" altLang="en-US"/>
              <a:t>热泵运行总时长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24759920634920635"/>
          <c:y val="0.15728888888888887"/>
          <c:w val="0.66474631519274374"/>
          <c:h val="0.57858928571428581"/>
        </c:manualLayout>
      </c:layout>
      <c:scatterChart>
        <c:scatterStyle val="smoothMarker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运行时长</c:v>
                </c:pt>
              </c:strCache>
            </c:strRef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square"/>
            <c:size val="7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Sheet1!$A$2:$A$7</c:f>
              <c:numCache>
                <c:formatCode>General</c:formatCode>
                <c:ptCount val="6"/>
                <c:pt idx="0">
                  <c:v>0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</c:numCache>
            </c:numRef>
          </c:xVal>
          <c:yVal>
            <c:numRef>
              <c:f>Sheet1!$C$2:$C$7</c:f>
              <c:numCache>
                <c:formatCode>General</c:formatCode>
                <c:ptCount val="6"/>
                <c:pt idx="0">
                  <c:v>2797</c:v>
                </c:pt>
                <c:pt idx="1">
                  <c:v>2785</c:v>
                </c:pt>
                <c:pt idx="2">
                  <c:v>2776</c:v>
                </c:pt>
                <c:pt idx="3">
                  <c:v>2765</c:v>
                </c:pt>
                <c:pt idx="4">
                  <c:v>2752</c:v>
                </c:pt>
                <c:pt idx="5">
                  <c:v>2739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967-493B-BC08-8EFC53EEFB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376559"/>
        <c:axId val="45377039"/>
      </c:scatterChart>
      <c:valAx>
        <c:axId val="45376559"/>
        <c:scaling>
          <c:orientation val="minMax"/>
          <c:max val="10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zh-CN" altLang="en-US" sz="12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增强换热管长度（</a:t>
                </a:r>
                <a:r>
                  <a:rPr lang="en-US" altLang="zh-CN" sz="12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m</a:t>
                </a:r>
                <a:r>
                  <a:rPr lang="zh-CN" altLang="en-US" sz="12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）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CN"/>
          </a:p>
        </c:txPr>
        <c:crossAx val="45377039"/>
        <c:crosses val="autoZero"/>
        <c:crossBetween val="midCat"/>
        <c:majorUnit val="200"/>
      </c:valAx>
      <c:valAx>
        <c:axId val="4537703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zh-CN" altLang="en-US"/>
                  <a:t>时间（</a:t>
                </a:r>
                <a:r>
                  <a:rPr lang="en-US" altLang="zh-CN"/>
                  <a:t>h</a:t>
                </a:r>
                <a:r>
                  <a:rPr lang="zh-CN" altLang="en-US"/>
                  <a:t>）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CN"/>
          </a:p>
        </c:txPr>
        <c:crossAx val="45376559"/>
        <c:crosses val="autoZero"/>
        <c:crossBetween val="midCat"/>
      </c:valAx>
      <c:spPr>
        <a:solidFill>
          <a:sysClr val="window" lastClr="FFFFFF"/>
        </a:solidFill>
        <a:ln w="12700">
          <a:solidFill>
            <a:schemeClr val="tx1"/>
          </a:solidFill>
        </a:ln>
        <a:effectLst/>
      </c:spPr>
    </c:plotArea>
    <c:plotVisOnly val="1"/>
    <c:dispBlanksAs val="gap"/>
    <c:showDLblsOverMax val="0"/>
    <c:extLst/>
  </c:chart>
  <c:spPr>
    <a:solidFill>
      <a:sysClr val="window" lastClr="FFFFFF"/>
    </a:solidFill>
    <a:ln w="9525" cap="flat" cmpd="sng" algn="ctr">
      <a:noFill/>
      <a:round/>
    </a:ln>
    <a:effectLst/>
  </c:spPr>
  <c:txPr>
    <a:bodyPr/>
    <a:lstStyle/>
    <a:p>
      <a:pPr>
        <a:defRPr sz="1200">
          <a:latin typeface="Arial" panose="020B0604020202020204" pitchFamily="34" charset="0"/>
          <a:cs typeface="Arial" panose="020B0604020202020204" pitchFamily="34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zh-CN" altLang="en-US"/>
              <a:t>热泵耗电量（</a:t>
            </a:r>
            <a:r>
              <a:rPr lang="en-US" altLang="zh-CN"/>
              <a:t>kwh)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电量（kwh)</c:v>
                </c:pt>
              </c:strCache>
            </c:strRef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square"/>
            <c:size val="7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Sheet1!$A$2:$A$7</c:f>
              <c:numCache>
                <c:formatCode>General</c:formatCode>
                <c:ptCount val="6"/>
                <c:pt idx="0">
                  <c:v>0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</c:numCache>
            </c:numRef>
          </c:xVal>
          <c:yVal>
            <c:numRef>
              <c:f>Sheet1!$D$2:$D$7</c:f>
              <c:numCache>
                <c:formatCode>General</c:formatCode>
                <c:ptCount val="6"/>
                <c:pt idx="0">
                  <c:v>2408.9859999999999</c:v>
                </c:pt>
                <c:pt idx="1">
                  <c:v>2402.9859999999999</c:v>
                </c:pt>
                <c:pt idx="2">
                  <c:v>2398.9859999999999</c:v>
                </c:pt>
                <c:pt idx="3">
                  <c:v>2388.9859999999999</c:v>
                </c:pt>
                <c:pt idx="4">
                  <c:v>2378.9859999999999</c:v>
                </c:pt>
                <c:pt idx="5">
                  <c:v>2368.9859999999999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967-493B-BC08-8EFC53EEFB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376559"/>
        <c:axId val="45377039"/>
      </c:scatterChart>
      <c:valAx>
        <c:axId val="45376559"/>
        <c:scaling>
          <c:orientation val="minMax"/>
          <c:max val="10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zh-CN" altLang="en-US" sz="12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增强换热管长度（</a:t>
                </a:r>
                <a:r>
                  <a:rPr lang="en-US" altLang="zh-CN" sz="12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m</a:t>
                </a:r>
                <a:r>
                  <a:rPr lang="zh-CN" altLang="en-US" sz="12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）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CN"/>
          </a:p>
        </c:txPr>
        <c:crossAx val="45377039"/>
        <c:crosses val="autoZero"/>
        <c:crossBetween val="midCat"/>
      </c:valAx>
      <c:valAx>
        <c:axId val="4537703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zh-CN" altLang="en-US" sz="12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电量（</a:t>
                </a:r>
                <a:r>
                  <a:rPr lang="en-US" altLang="zh-CN" sz="12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MWh</a:t>
                </a:r>
                <a:r>
                  <a:rPr lang="zh-CN" altLang="en-US" sz="12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）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CN"/>
          </a:p>
        </c:txPr>
        <c:crossAx val="45376559"/>
        <c:crosses val="autoZero"/>
        <c:crossBetween val="midCat"/>
      </c:valAx>
      <c:spPr>
        <a:solidFill>
          <a:sysClr val="window" lastClr="FFFFFF"/>
        </a:solidFill>
        <a:ln w="12700">
          <a:solidFill>
            <a:schemeClr val="tx1"/>
          </a:solidFill>
        </a:ln>
        <a:effectLst/>
      </c:spPr>
    </c:plotArea>
    <c:plotVisOnly val="1"/>
    <c:dispBlanksAs val="gap"/>
    <c:showDLblsOverMax val="0"/>
    <c:extLst/>
  </c:chart>
  <c:spPr>
    <a:solidFill>
      <a:sysClr val="window" lastClr="FFFFFF"/>
    </a:solidFill>
    <a:ln w="9525" cap="flat" cmpd="sng" algn="ctr">
      <a:noFill/>
      <a:round/>
    </a:ln>
    <a:effectLst/>
  </c:spPr>
  <c:txPr>
    <a:bodyPr/>
    <a:lstStyle/>
    <a:p>
      <a:pPr>
        <a:defRPr sz="1200">
          <a:latin typeface="Arial" panose="020B0604020202020204" pitchFamily="34" charset="0"/>
          <a:cs typeface="Arial" panose="020B0604020202020204" pitchFamily="34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altLang="zh-CN"/>
              <a:t>COP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Sheet1!$I$1</c:f>
              <c:strCache>
                <c:ptCount val="1"/>
                <c:pt idx="0">
                  <c:v>COP</c:v>
                </c:pt>
              </c:strCache>
            </c:strRef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square"/>
            <c:size val="7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Sheet1!$A$2:$A$7</c:f>
              <c:numCache>
                <c:formatCode>General</c:formatCode>
                <c:ptCount val="6"/>
                <c:pt idx="0">
                  <c:v>0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</c:numCache>
            </c:numRef>
          </c:xVal>
          <c:yVal>
            <c:numRef>
              <c:f>Sheet1!$I$2:$I$7</c:f>
              <c:numCache>
                <c:formatCode>General</c:formatCode>
                <c:ptCount val="6"/>
                <c:pt idx="0">
                  <c:v>5.0876393636160611</c:v>
                </c:pt>
                <c:pt idx="1">
                  <c:v>5.1003426570109021</c:v>
                </c:pt>
                <c:pt idx="2">
                  <c:v>5.1088468211152547</c:v>
                </c:pt>
                <c:pt idx="3">
                  <c:v>5.130231822204065</c:v>
                </c:pt>
                <c:pt idx="4">
                  <c:v>5.151796605780782</c:v>
                </c:pt>
                <c:pt idx="5">
                  <c:v>5.1735434485471847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967-493B-BC08-8EFC53EEFB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376559"/>
        <c:axId val="45377039"/>
      </c:scatterChart>
      <c:valAx>
        <c:axId val="45376559"/>
        <c:scaling>
          <c:orientation val="minMax"/>
          <c:max val="10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zh-CN" altLang="en-US" sz="12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增强换热管长度（</a:t>
                </a:r>
                <a:r>
                  <a:rPr lang="en-US" altLang="zh-CN" sz="12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m</a:t>
                </a:r>
                <a:r>
                  <a:rPr lang="zh-CN" altLang="en-US" sz="12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）</a:t>
                </a:r>
              </a:p>
            </c:rich>
          </c:tx>
          <c:layout>
            <c:manualLayout>
              <c:xMode val="edge"/>
              <c:yMode val="edge"/>
              <c:x val="0.30038236961451248"/>
              <c:y val="0.8562281746031745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CN"/>
          </a:p>
        </c:txPr>
        <c:crossAx val="45377039"/>
        <c:crosses val="autoZero"/>
        <c:crossBetween val="midCat"/>
      </c:valAx>
      <c:valAx>
        <c:axId val="453770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CN"/>
          </a:p>
        </c:txPr>
        <c:crossAx val="45376559"/>
        <c:crosses val="autoZero"/>
        <c:crossBetween val="midCat"/>
      </c:valAx>
      <c:spPr>
        <a:solidFill>
          <a:sysClr val="window" lastClr="FFFFFF"/>
        </a:solidFill>
        <a:ln w="12700">
          <a:solidFill>
            <a:schemeClr val="tx1"/>
          </a:solidFill>
        </a:ln>
        <a:effectLst/>
      </c:spPr>
    </c:plotArea>
    <c:plotVisOnly val="1"/>
    <c:dispBlanksAs val="gap"/>
    <c:showDLblsOverMax val="0"/>
    <c:extLst/>
  </c:chart>
  <c:spPr>
    <a:solidFill>
      <a:sysClr val="window" lastClr="FFFFFF"/>
    </a:solidFill>
    <a:ln w="9525" cap="flat" cmpd="sng" algn="ctr">
      <a:noFill/>
      <a:round/>
    </a:ln>
    <a:effectLst/>
  </c:spPr>
  <c:txPr>
    <a:bodyPr/>
    <a:lstStyle/>
    <a:p>
      <a:pPr>
        <a:defRPr sz="1200">
          <a:latin typeface="Arial" panose="020B0604020202020204" pitchFamily="34" charset="0"/>
          <a:cs typeface="Arial" panose="020B0604020202020204" pitchFamily="34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zh-CN" altLang="en-US"/>
              <a:t>水泵耗电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Sheet1!$H$1</c:f>
              <c:strCache>
                <c:ptCount val="1"/>
                <c:pt idx="0">
                  <c:v>水泵耗电</c:v>
                </c:pt>
              </c:strCache>
            </c:strRef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square"/>
            <c:size val="7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Sheet1!$A$2:$A$7</c:f>
              <c:numCache>
                <c:formatCode>General</c:formatCode>
                <c:ptCount val="6"/>
                <c:pt idx="0">
                  <c:v>0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</c:numCache>
            </c:numRef>
          </c:xVal>
          <c:yVal>
            <c:numRef>
              <c:f>Sheet1!$H$2:$H$7</c:f>
              <c:numCache>
                <c:formatCode>General</c:formatCode>
                <c:ptCount val="6"/>
                <c:pt idx="0">
                  <c:v>40.485427199999997</c:v>
                </c:pt>
                <c:pt idx="1">
                  <c:v>40.504196100000001</c:v>
                </c:pt>
                <c:pt idx="2">
                  <c:v>40.623348300000004</c:v>
                </c:pt>
                <c:pt idx="3">
                  <c:v>40.742500499999998</c:v>
                </c:pt>
                <c:pt idx="4">
                  <c:v>40.861499999999999</c:v>
                </c:pt>
                <c:pt idx="5">
                  <c:v>40.952199999999998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967-493B-BC08-8EFC53EEFB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376559"/>
        <c:axId val="45377039"/>
      </c:scatterChart>
      <c:valAx>
        <c:axId val="45376559"/>
        <c:scaling>
          <c:orientation val="minMax"/>
          <c:max val="10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2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zh-CN" altLang="en-US" sz="12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增强换热管长度（</a:t>
                </a:r>
                <a:r>
                  <a:rPr lang="en-US" altLang="zh-CN" sz="12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m</a:t>
                </a:r>
                <a:r>
                  <a:rPr lang="zh-CN" altLang="en-US" sz="12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）</a:t>
                </a:r>
              </a:p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2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2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CN"/>
          </a:p>
        </c:txPr>
        <c:crossAx val="45377039"/>
        <c:crosses val="autoZero"/>
        <c:crossBetween val="midCat"/>
      </c:valAx>
      <c:valAx>
        <c:axId val="4537703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zh-CN" altLang="en-US"/>
                  <a:t>电量（</a:t>
                </a:r>
                <a:r>
                  <a:rPr lang="en-US" altLang="zh-CN"/>
                  <a:t>MWh</a:t>
                </a:r>
                <a:r>
                  <a:rPr lang="zh-CN" altLang="en-US"/>
                  <a:t>）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CN"/>
          </a:p>
        </c:txPr>
        <c:crossAx val="45376559"/>
        <c:crosses val="autoZero"/>
        <c:crossBetween val="midCat"/>
      </c:valAx>
      <c:spPr>
        <a:solidFill>
          <a:sysClr val="window" lastClr="FFFFFF"/>
        </a:solidFill>
        <a:ln w="12700">
          <a:solidFill>
            <a:schemeClr val="tx1"/>
          </a:solidFill>
        </a:ln>
        <a:effectLst/>
      </c:spPr>
    </c:plotArea>
    <c:plotVisOnly val="1"/>
    <c:dispBlanksAs val="gap"/>
    <c:showDLblsOverMax val="0"/>
    <c:extLst/>
  </c:chart>
  <c:spPr>
    <a:solidFill>
      <a:sysClr val="window" lastClr="FFFFFF"/>
    </a:solidFill>
    <a:ln w="9525" cap="flat" cmpd="sng" algn="ctr">
      <a:noFill/>
      <a:round/>
    </a:ln>
    <a:effectLst/>
  </c:spPr>
  <c:txPr>
    <a:bodyPr/>
    <a:lstStyle/>
    <a:p>
      <a:pPr>
        <a:defRPr sz="1200">
          <a:latin typeface="Arial" panose="020B0604020202020204" pitchFamily="34" charset="0"/>
          <a:cs typeface="Arial" panose="020B0604020202020204" pitchFamily="34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zh-CN" altLang="en-US"/>
              <a:t>初投资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Sheet1!$J$1</c:f>
              <c:strCache>
                <c:ptCount val="1"/>
                <c:pt idx="0">
                  <c:v>初投资</c:v>
                </c:pt>
              </c:strCache>
            </c:strRef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square"/>
            <c:size val="7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Sheet1!$A$2:$A$7</c:f>
              <c:numCache>
                <c:formatCode>General</c:formatCode>
                <c:ptCount val="6"/>
                <c:pt idx="0">
                  <c:v>0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</c:numCache>
            </c:numRef>
          </c:xVal>
          <c:yVal>
            <c:numRef>
              <c:f>Sheet1!$J$2:$J$7</c:f>
              <c:numCache>
                <c:formatCode>General</c:formatCode>
                <c:ptCount val="6"/>
                <c:pt idx="0">
                  <c:v>198.28</c:v>
                </c:pt>
                <c:pt idx="1">
                  <c:v>198.58</c:v>
                </c:pt>
                <c:pt idx="2">
                  <c:v>198.88000000000002</c:v>
                </c:pt>
                <c:pt idx="3">
                  <c:v>199.18000000000004</c:v>
                </c:pt>
                <c:pt idx="4">
                  <c:v>199.48000000000005</c:v>
                </c:pt>
                <c:pt idx="5">
                  <c:v>199.78000000000006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967-493B-BC08-8EFC53EEFB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376559"/>
        <c:axId val="45377039"/>
      </c:scatterChart>
      <c:valAx>
        <c:axId val="45376559"/>
        <c:scaling>
          <c:orientation val="minMax"/>
          <c:max val="10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zh-CN" altLang="en-US" sz="12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增强换热管长度（</a:t>
                </a:r>
                <a:r>
                  <a:rPr lang="en-US" altLang="zh-CN" sz="12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m</a:t>
                </a:r>
                <a:r>
                  <a:rPr lang="zh-CN" altLang="en-US" sz="12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）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CN"/>
          </a:p>
        </c:txPr>
        <c:crossAx val="45377039"/>
        <c:crosses val="autoZero"/>
        <c:crossBetween val="midCat"/>
      </c:valAx>
      <c:valAx>
        <c:axId val="4537703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zh-CN" altLang="en-US"/>
                  <a:t>万元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CN"/>
          </a:p>
        </c:txPr>
        <c:crossAx val="45376559"/>
        <c:crosses val="autoZero"/>
        <c:crossBetween val="midCat"/>
      </c:valAx>
      <c:spPr>
        <a:solidFill>
          <a:sysClr val="window" lastClr="FFFFFF"/>
        </a:solidFill>
        <a:ln w="12700">
          <a:solidFill>
            <a:schemeClr val="tx1"/>
          </a:solidFill>
        </a:ln>
        <a:effectLst/>
      </c:spPr>
    </c:plotArea>
    <c:plotVisOnly val="1"/>
    <c:dispBlanksAs val="gap"/>
    <c:showDLblsOverMax val="0"/>
    <c:extLst/>
  </c:chart>
  <c:spPr>
    <a:solidFill>
      <a:sysClr val="window" lastClr="FFFFFF"/>
    </a:solidFill>
    <a:ln w="9525" cap="flat" cmpd="sng" algn="ctr">
      <a:noFill/>
      <a:round/>
    </a:ln>
    <a:effectLst/>
  </c:spPr>
  <c:txPr>
    <a:bodyPr/>
    <a:lstStyle/>
    <a:p>
      <a:pPr>
        <a:defRPr sz="1200">
          <a:latin typeface="Arial" panose="020B0604020202020204" pitchFamily="34" charset="0"/>
          <a:cs typeface="Arial" panose="020B0604020202020204" pitchFamily="34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53228</xdr:colOff>
      <xdr:row>7</xdr:row>
      <xdr:rowOff>146797</xdr:rowOff>
    </xdr:from>
    <xdr:to>
      <xdr:col>13</xdr:col>
      <xdr:colOff>367940</xdr:colOff>
      <xdr:row>22</xdr:row>
      <xdr:rowOff>95049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9ECA5504-B381-C7B8-CFB7-39D3C64D6D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636213</xdr:colOff>
      <xdr:row>3</xdr:row>
      <xdr:rowOff>151839</xdr:rowOff>
    </xdr:from>
    <xdr:to>
      <xdr:col>25</xdr:col>
      <xdr:colOff>306589</xdr:colOff>
      <xdr:row>18</xdr:row>
      <xdr:rowOff>100091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5930D809-89F9-FDE6-316E-9DE289000A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513367</xdr:colOff>
      <xdr:row>23</xdr:row>
      <xdr:rowOff>63592</xdr:rowOff>
    </xdr:from>
    <xdr:to>
      <xdr:col>16</xdr:col>
      <xdr:colOff>143000</xdr:colOff>
      <xdr:row>37</xdr:row>
      <xdr:rowOff>151916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982900AC-DEE8-BAD2-3429-93B2571329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285889</xdr:colOff>
      <xdr:row>23</xdr:row>
      <xdr:rowOff>0</xdr:rowOff>
    </xdr:from>
    <xdr:to>
      <xdr:col>6</xdr:col>
      <xdr:colOff>592199</xdr:colOff>
      <xdr:row>37</xdr:row>
      <xdr:rowOff>88324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C9E6FD9A-5D0D-FF8A-33A1-ABF7ECA5DA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362928</xdr:colOff>
      <xdr:row>3</xdr:row>
      <xdr:rowOff>138111</xdr:rowOff>
    </xdr:from>
    <xdr:to>
      <xdr:col>19</xdr:col>
      <xdr:colOff>636899</xdr:colOff>
      <xdr:row>18</xdr:row>
      <xdr:rowOff>84121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472A84BD-B0B2-8867-7C3F-4FC5567D89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344578</xdr:colOff>
      <xdr:row>7</xdr:row>
      <xdr:rowOff>113180</xdr:rowOff>
    </xdr:from>
    <xdr:to>
      <xdr:col>7</xdr:col>
      <xdr:colOff>406210</xdr:colOff>
      <xdr:row>23</xdr:row>
      <xdr:rowOff>77321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686204D3-455D-2154-EFE8-53FBB52464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eet4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4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等线 Light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Angsana New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等线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等线 Light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Angsana New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等线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等线 Light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Angsana New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等线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等线 Light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Angsana New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等线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等线 Light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Angsana New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等线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等线 Light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Angsana New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等线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"/>
  <sheetViews>
    <sheetView tabSelected="1" zoomScale="85" zoomScaleNormal="85" workbookViewId="0">
      <selection activeCell="K2" sqref="K2"/>
    </sheetView>
  </sheetViews>
  <sheetFormatPr defaultColWidth="9" defaultRowHeight="13.5" x14ac:dyDescent="0.3"/>
  <sheetData>
    <row r="1" spans="1:11" x14ac:dyDescent="0.3">
      <c r="B1" s="1" t="s">
        <v>0</v>
      </c>
      <c r="C1" s="1" t="s">
        <v>3</v>
      </c>
      <c r="D1" s="1" t="s">
        <v>2</v>
      </c>
      <c r="E1" s="1" t="s">
        <v>4</v>
      </c>
      <c r="F1" s="1" t="s">
        <v>1</v>
      </c>
      <c r="G1" s="1" t="s">
        <v>5</v>
      </c>
      <c r="H1" s="1" t="s">
        <v>6</v>
      </c>
      <c r="I1" s="1" t="s">
        <v>1</v>
      </c>
      <c r="J1" s="1" t="s">
        <v>7</v>
      </c>
    </row>
    <row r="2" spans="1:11" x14ac:dyDescent="0.3">
      <c r="A2">
        <v>0</v>
      </c>
      <c r="B2">
        <v>7.6774100000000001</v>
      </c>
      <c r="C2">
        <v>2797</v>
      </c>
      <c r="D2">
        <v>2408.9859999999999</v>
      </c>
      <c r="E2">
        <v>12256.052</v>
      </c>
      <c r="F2">
        <f>14080.9288/2797</f>
        <v>5.0342970325348588</v>
      </c>
      <c r="G2" s="2">
        <v>16.816500000000001</v>
      </c>
      <c r="H2">
        <v>40.485427199999997</v>
      </c>
      <c r="I2">
        <f>E2/D2</f>
        <v>5.0876393636160611</v>
      </c>
      <c r="J2">
        <v>198.28</v>
      </c>
      <c r="K2">
        <f>(B2-B3)/B2</f>
        <v>3.5702144342948613E-3</v>
      </c>
    </row>
    <row r="3" spans="1:11" x14ac:dyDescent="0.3">
      <c r="A3">
        <v>200</v>
      </c>
      <c r="B3">
        <v>7.65</v>
      </c>
      <c r="C3">
        <v>2785</v>
      </c>
      <c r="D3">
        <v>2402.9859999999999</v>
      </c>
      <c r="E3">
        <v>12256.052</v>
      </c>
      <c r="F3">
        <f>14080.9288/C3</f>
        <v>5.0559887971274682</v>
      </c>
      <c r="G3" s="2">
        <v>16.817299999999999</v>
      </c>
      <c r="H3">
        <v>40.504196100000001</v>
      </c>
      <c r="I3">
        <f>E3/D3</f>
        <v>5.1003426570109021</v>
      </c>
      <c r="J3">
        <f>J2+0.3</f>
        <v>198.58</v>
      </c>
    </row>
    <row r="4" spans="1:11" x14ac:dyDescent="0.3">
      <c r="A4">
        <v>400</v>
      </c>
      <c r="B4" s="2">
        <v>7.6646299999999998</v>
      </c>
      <c r="C4">
        <v>2776</v>
      </c>
      <c r="D4">
        <v>2398.9859999999999</v>
      </c>
      <c r="E4">
        <v>12256.052</v>
      </c>
      <c r="F4">
        <f>14080.9288/C4</f>
        <v>5.0723806916426515</v>
      </c>
      <c r="G4" s="2">
        <v>16.817299999999999</v>
      </c>
      <c r="H4" s="1">
        <v>40.623348300000004</v>
      </c>
      <c r="I4">
        <f t="shared" ref="I3:I7" si="0">E4/D4</f>
        <v>5.1088468211152547</v>
      </c>
      <c r="J4">
        <f t="shared" ref="J4:J7" si="1">J3+0.3</f>
        <v>198.88000000000002</v>
      </c>
    </row>
    <row r="5" spans="1:11" x14ac:dyDescent="0.3">
      <c r="A5">
        <v>600</v>
      </c>
      <c r="B5" s="2">
        <v>7.6704400000000001</v>
      </c>
      <c r="C5">
        <v>2765</v>
      </c>
      <c r="D5">
        <v>2388.9859999999999</v>
      </c>
      <c r="E5">
        <v>12256.052</v>
      </c>
      <c r="F5">
        <f t="shared" ref="F5:F7" si="2">14080.9288/C5</f>
        <v>5.0925601446654607</v>
      </c>
      <c r="G5" s="2">
        <v>16.817299999999999</v>
      </c>
      <c r="H5" s="1">
        <v>40.742500499999998</v>
      </c>
      <c r="I5">
        <f t="shared" si="0"/>
        <v>5.130231822204065</v>
      </c>
      <c r="J5">
        <f t="shared" si="1"/>
        <v>199.18000000000004</v>
      </c>
    </row>
    <row r="6" spans="1:11" x14ac:dyDescent="0.3">
      <c r="A6">
        <v>800</v>
      </c>
      <c r="B6" s="2">
        <v>7.6762499999999996</v>
      </c>
      <c r="C6">
        <v>2752</v>
      </c>
      <c r="D6">
        <v>2378.9859999999999</v>
      </c>
      <c r="E6">
        <v>12256.052</v>
      </c>
      <c r="F6">
        <f t="shared" si="2"/>
        <v>5.1166165697674417</v>
      </c>
      <c r="G6" s="2">
        <v>16.817299999999999</v>
      </c>
      <c r="H6">
        <v>40.861499999999999</v>
      </c>
      <c r="I6">
        <f t="shared" si="0"/>
        <v>5.151796605780782</v>
      </c>
      <c r="J6">
        <f t="shared" si="1"/>
        <v>199.48000000000005</v>
      </c>
    </row>
    <row r="7" spans="1:11" x14ac:dyDescent="0.3">
      <c r="A7">
        <v>1000</v>
      </c>
      <c r="B7" s="2">
        <v>7.6820599999999999</v>
      </c>
      <c r="C7">
        <v>2739</v>
      </c>
      <c r="D7">
        <v>2368.9859999999999</v>
      </c>
      <c r="E7">
        <v>12256.052</v>
      </c>
      <c r="F7">
        <f t="shared" si="2"/>
        <v>5.1409013508579768</v>
      </c>
      <c r="G7" s="2">
        <v>16.817299999999999</v>
      </c>
      <c r="H7">
        <v>40.952199999999998</v>
      </c>
      <c r="I7">
        <f t="shared" si="0"/>
        <v>5.1735434485471847</v>
      </c>
      <c r="J7">
        <f t="shared" si="1"/>
        <v>199.78000000000006</v>
      </c>
    </row>
  </sheetData>
  <phoneticPr fontId="1" type="noConversion"/>
  <pageMargins left="0.7" right="0.7" top="0.75" bottom="0.75" header="0.3" footer="0.3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J7:J10"/>
  <sheetViews>
    <sheetView workbookViewId="0">
      <selection activeCell="L14" sqref="L14"/>
    </sheetView>
  </sheetViews>
  <sheetFormatPr defaultColWidth="9" defaultRowHeight="13.5" x14ac:dyDescent="0.3"/>
  <sheetData>
    <row r="7" spans="10:10" x14ac:dyDescent="0.3">
      <c r="J7" s="1" t="s">
        <v>8</v>
      </c>
    </row>
    <row r="8" spans="10:10" x14ac:dyDescent="0.3">
      <c r="J8" s="1" t="s">
        <v>9</v>
      </c>
    </row>
    <row r="9" spans="10:10" x14ac:dyDescent="0.3">
      <c r="J9" s="1" t="s">
        <v>10</v>
      </c>
    </row>
    <row r="10" spans="10:10" x14ac:dyDescent="0.3">
      <c r="J10" s="1" t="s">
        <v>11</v>
      </c>
    </row>
  </sheetData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3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Bi Yang</cp:lastModifiedBy>
  <dcterms:created xsi:type="dcterms:W3CDTF">2023-05-12T11:15:00Z</dcterms:created>
  <dcterms:modified xsi:type="dcterms:W3CDTF">2026-01-09T12:39:40Z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